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ems_Master" sheetId="1" r:id="rId4"/>
    <sheet state="visible" name="Scoring_Logic" sheetId="2" r:id="rId5"/>
    <sheet state="visible" name="Sample_Calculator" sheetId="3" r:id="rId6"/>
  </sheets>
  <definedNames/>
  <calcPr/>
  <extLst>
    <ext uri="GoogleSheetsCustomDataVersion2">
      <go:sheetsCustomData xmlns:go="http://customooxmlschemas.google.com/" r:id="rId7" roundtripDataChecksum="RBPS249GhOEiCKEXpE0OeKexdC2o6HLc/TlQYWgW+Ic="/>
    </ext>
  </extLst>
</workbook>
</file>

<file path=xl/sharedStrings.xml><?xml version="1.0" encoding="utf-8"?>
<sst xmlns="http://schemas.openxmlformats.org/spreadsheetml/2006/main" count="240" uniqueCount="142">
  <si>
    <t>Item_ID</t>
  </si>
  <si>
    <t>STEP 0 — DATA CAPTURE</t>
  </si>
  <si>
    <t>SAMPLE SCORING CALCULATOR - enter raw responses (1-5) in the yellow cells; everything else computes.</t>
  </si>
  <si>
    <t>Admin_Position</t>
  </si>
  <si>
    <t>Factor</t>
  </si>
  <si>
    <t>Construct</t>
  </si>
  <si>
    <t>Statement</t>
  </si>
  <si>
    <t>Reverse_Scored</t>
  </si>
  <si>
    <t>0.1</t>
  </si>
  <si>
    <t>In_Composite</t>
  </si>
  <si>
    <t>Raw (1-5)</t>
  </si>
  <si>
    <t>Reverse?</t>
  </si>
  <si>
    <t>Scored</t>
  </si>
  <si>
    <t>I1</t>
  </si>
  <si>
    <t>Raw responses</t>
  </si>
  <si>
    <t>Store raw response (1-5) for all 15 items keyed by Item_ID. Timestamp start and finish; store total completion time in seconds.</t>
  </si>
  <si>
    <t>0.2</t>
  </si>
  <si>
    <t>Completion check</t>
  </si>
  <si>
    <t>Internal Drive</t>
  </si>
  <si>
    <t>If I get a totally new kind of task or role, I am sure I can learn what it needs.</t>
  </si>
  <si>
    <t>Self-Efficacy</t>
  </si>
  <si>
    <t>All 15 items must be answered. Partial protocols are not scored.</t>
  </si>
  <si>
    <t>STEP 1 — VALIDITY CHECKS (run BEFORE any scoring)</t>
  </si>
  <si>
    <t>N</t>
  </si>
  <si>
    <t>Y</t>
  </si>
  <si>
    <t>1.1</t>
  </si>
  <si>
    <t>Infrequency (hard fail)</t>
  </si>
  <si>
    <t>I2</t>
  </si>
  <si>
    <t>IF V3 &lt;= 3 THEN protocol_status = 'INVALID'. Do not compute any scores. Message: 'Response pattern suggests careless responding. Please retake.'</t>
  </si>
  <si>
    <t>Growth Mindset</t>
  </si>
  <si>
    <t>1.2</t>
  </si>
  <si>
    <t>Even in things I am weak at today, regular practice can make me really good at them.</t>
  </si>
  <si>
    <t>Straight-lining (hard fail)</t>
  </si>
  <si>
    <t>I3</t>
  </si>
  <si>
    <t>IF all 15 raw responses are identical THEN protocol_status = 'INVALID'. Same handling as 1.1.</t>
  </si>
  <si>
    <t>1.3</t>
  </si>
  <si>
    <t>Speed check (hard fail)</t>
  </si>
  <si>
    <t>When something does not come naturally to me, I take it as a sign I am just not built for it.</t>
  </si>
  <si>
    <t>IF total completion time &lt; 45 seconds (i.e. under ~3 sec/item) THEN protocol_status = 'INVALID'.</t>
  </si>
  <si>
    <t>1.4</t>
  </si>
  <si>
    <t>Social desirability (soft flags)</t>
  </si>
  <si>
    <t>V1</t>
  </si>
  <si>
    <t>IF V1 = 5 AND V2 = 5 THEN sd_flag = 'STRONG' (score normally, but report shows caution note). ELSE IF V1 = 5 OR V2 = 5 THEN sd_flag = 'SOFT' (internal note only). ELSE sd_flag = 'NONE'.</t>
  </si>
  <si>
    <t>1.5</t>
  </si>
  <si>
    <t>Flag behavior</t>
  </si>
  <si>
    <t>Validity</t>
  </si>
  <si>
    <t>Flags never auto-reject. STRONG flag text for counselor report: 'Scores may be inflated by socially desirable responding; verify with behavioral evidence.'</t>
  </si>
  <si>
    <t>Social Desirability</t>
  </si>
  <si>
    <t xml:space="preserve"> </t>
  </si>
  <si>
    <t>I have never felt lazy about any task in my life.</t>
  </si>
  <si>
    <t>STEP 2 — REVERSE SCORING</t>
  </si>
  <si>
    <t>2.1</t>
  </si>
  <si>
    <t>I4</t>
  </si>
  <si>
    <t>Transform</t>
  </si>
  <si>
    <t>FOR each item WHERE Reverse_Scored = 'Y' (I3, I6, I11): scored_value = 6 - raw_value. All other scored items: scored_value = raw_value. Validity items are never transformed or summed.</t>
  </si>
  <si>
    <t>STEP 3 — SCORE COMPUTATION</t>
  </si>
  <si>
    <t>Tough semesters or heavy workloads do not shake my belief that I can cope.</t>
  </si>
  <si>
    <t>3.1</t>
  </si>
  <si>
    <t>I5</t>
  </si>
  <si>
    <t>ID_score = I1 + I2 + I3(rev) + I4. Range 4-20.</t>
  </si>
  <si>
    <t>n/a</t>
  </si>
  <si>
    <t>3.2</t>
  </si>
  <si>
    <t>Sustained Tenacity</t>
  </si>
  <si>
    <t>Perseverance</t>
  </si>
  <si>
    <t>When a long project turns out harder than I expected, I stay with it till it is done.</t>
  </si>
  <si>
    <t>ST_score = I5 + I6(rev) + I7 + I8. Range 4-20.</t>
  </si>
  <si>
    <t>3.3</t>
  </si>
  <si>
    <t>Adaptive Execution</t>
  </si>
  <si>
    <t>AE_score = I9 + I10 + I11(rev) + I12. Range 4-20.</t>
  </si>
  <si>
    <t>I6</t>
  </si>
  <si>
    <t>3.4</t>
  </si>
  <si>
    <t>Composite (Academic Drive)</t>
  </si>
  <si>
    <t>Like most people, when early efforts show no quick results, I often lose steam and shift to something else.</t>
  </si>
  <si>
    <t>AD_composite = ID_score + ST_score + AE_score. Range 12-60.</t>
  </si>
  <si>
    <t>STEP 4 — INTERPRETATION BANDS (PROVISIONAL - replace with percentile norms after 150-200 valid pilot responses)</t>
  </si>
  <si>
    <t>4.1</t>
  </si>
  <si>
    <t>I7</t>
  </si>
  <si>
    <t>High Drive</t>
  </si>
  <si>
    <t>IF AD_composite &gt;= 48 THEN band = 'High Drive'. Routing: stretch opportunities, autonomy, leadership roles.</t>
  </si>
  <si>
    <t>In the past few months, I have kept working on at least one goal even after it stopped being exciting.</t>
  </si>
  <si>
    <t>4.2</t>
  </si>
  <si>
    <t>Moderate Drive</t>
  </si>
  <si>
    <t>IF 34 &lt;= AD_composite &lt;= 47 THEN band = 'Moderate Drive'. Routing: standard support plus targeted push on the lowest factor.</t>
  </si>
  <si>
    <t>V3</t>
  </si>
  <si>
    <t>4.3</t>
  </si>
  <si>
    <t>Developing Drive</t>
  </si>
  <si>
    <t>Infrequency</t>
  </si>
  <si>
    <t>IF AD_composite &lt;= 33 THEN band = 'Developing Drive'. Routing: structured mentoring and skill-building interventions.</t>
  </si>
  <si>
    <t>I have attended at least one class or meeting in the past year.</t>
  </si>
  <si>
    <t>4.4</t>
  </si>
  <si>
    <t>Low-factor callout</t>
  </si>
  <si>
    <t>I8</t>
  </si>
  <si>
    <t>Independently of band: IF any factor score &lt;= 9 (bottom third of 4-20) THEN report highlights that factor as a development priority.</t>
  </si>
  <si>
    <t>A rejection or a failed attempt usually makes me work harder on my preparation, not step back.</t>
  </si>
  <si>
    <t>STEP 5 — PROFILE INTERPRETATION RULES (for report text generation)</t>
  </si>
  <si>
    <t>5.1</t>
  </si>
  <si>
    <t>I9</t>
  </si>
  <si>
    <t>Believes, doesn't act</t>
  </si>
  <si>
    <t>IF ID_score &gt;= 15 AND AE_score &lt;= 11 THEN profile_note = 'High belief, low execution - needs accountability structures and concrete action plans.'</t>
  </si>
  <si>
    <t>Proactivity</t>
  </si>
  <si>
    <t>In the last few months, I have worked on fixing a skill gap on my own, without anyone asking me to.</t>
  </si>
  <si>
    <t>5.2</t>
  </si>
  <si>
    <t>Acts, doubts self</t>
  </si>
  <si>
    <t>I10</t>
  </si>
  <si>
    <t>IF AE_score &gt;= 15 AND ID_score &lt;= 11 THEN profile_note = 'Strong execution, low self-belief - needs confidence-building and visible wins.'</t>
  </si>
  <si>
    <t>5.3</t>
  </si>
  <si>
    <t>I go to seniors or mentors for direction before a problem becomes a crisis, even when asking feels awkward.</t>
  </si>
  <si>
    <t>Starts, doesn't finish</t>
  </si>
  <si>
    <t>IF ID_score &gt;= 15 AND ST_score &lt;= 11 THEN profile_note = 'Strong start, weak follow-through - needs milestone-based commitment structures.'</t>
  </si>
  <si>
    <t>I11</t>
  </si>
  <si>
    <t>EDGE CASES</t>
  </si>
  <si>
    <t>Learning Agility</t>
  </si>
  <si>
    <t>When my usual method stops working, I still tend to repeat it instead of trying something new.</t>
  </si>
  <si>
    <t>E1</t>
  </si>
  <si>
    <t>Retakes</t>
  </si>
  <si>
    <t>Allow retake only after 30 days for INVALID protocols; store both attempts, use latest valid.</t>
  </si>
  <si>
    <t>V2</t>
  </si>
  <si>
    <t>E2</t>
  </si>
  <si>
    <t>Ties at band boundaries</t>
  </si>
  <si>
    <t>Band cutoffs are inclusive as written (&gt;= and &lt;=); no rounding needed since all scores are integers.</t>
  </si>
  <si>
    <t>I have never been annoyed by anyone, even slightly.</t>
  </si>
  <si>
    <t>E3</t>
  </si>
  <si>
    <t>Norm update</t>
  </si>
  <si>
    <t>When pilot norms (n&gt;=150) are ready, bands in Step 4 will be replaced by percentile cutoffs (P75 / P25). Build cutoffs as config values, not hardcoded.</t>
  </si>
  <si>
    <t>I12</t>
  </si>
  <si>
    <t>Metacognition</t>
  </si>
  <si>
    <t>I stop now and then to ask myself whether my daily routine is actually moving me forward or just keeping me busy.</t>
  </si>
  <si>
    <t>NOTES FOR TECH TEAM</t>
  </si>
  <si>
    <t>1. Present items to the student in Admin_Position order (1-15). Grey rows = validity items; never show factor names or 'validity' labels to the student.</t>
  </si>
  <si>
    <t>2. Response scale for ALL items: 1=Strongly Disagree, 2=Disagree, 3=Neutral, 4=Agree, 5=Strongly Agree. Force a response on every item (no skips).</t>
  </si>
  <si>
    <t>3. Reverse_Scored=Y items (I3, I6, I11): transform before scoring using score = 6 - raw.</t>
  </si>
  <si>
    <t>4. In_Composite=N items (V1, V2, V3) are NEVER added to any factor or composite score. They only drive validity flags (see Scoring_Logic sheet).</t>
  </si>
  <si>
    <t>RESULTS</t>
  </si>
  <si>
    <t>Internal Drive (4-20)</t>
  </si>
  <si>
    <t>Sustained Tenacity (4-20)</t>
  </si>
  <si>
    <t>Adaptive Execution (4-20)</t>
  </si>
  <si>
    <t>COMPOSITE Academic Drive (12-60)</t>
  </si>
  <si>
    <t>Band</t>
  </si>
  <si>
    <t>Validity: Infrequency</t>
  </si>
  <si>
    <t>Validity: Social Desirability</t>
  </si>
  <si>
    <t>Validity: Straight-lining</t>
  </si>
  <si>
    <t>Legend: yellow cells = enter raw responses here (example values pre-filled). Grey rows = validity items, excluded from all sums.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</si>
</sst>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0.0"/>
      <color rgb="FFFFFFFF"/>
      <name val="Arial"/>
    </font>
    <font>
      <b/>
      <sz val="10.0"/>
      <color theme="1"/>
      <name val="Arial"/>
    </font>
    <font>
      <b/>
      <sz val="11.0"/>
      <color rgb="FF1F3864"/>
      <name val="Arial"/>
    </font>
    <font>
      <sz val="10.0"/>
      <color theme="1"/>
      <name val="Arial"/>
    </font>
    <font>
      <sz val="10.0"/>
      <color rgb="FF0000FF"/>
      <name val="Arial"/>
    </font>
    <font>
      <b/>
      <sz val="10.0"/>
      <color rgb="FFC00000"/>
      <name val="Arial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bottom" wrapText="0"/>
    </xf>
    <xf borderId="1" fillId="3" fontId="5" numFmtId="0" xfId="0" applyAlignment="1" applyBorder="1" applyFill="1" applyFont="1">
      <alignment shrinkToFit="0" vertical="bottom" wrapText="0"/>
    </xf>
    <xf borderId="1" fillId="0" fontId="6" numFmtId="0" xfId="0" applyAlignment="1" applyBorder="1" applyFont="1">
      <alignment shrinkToFit="0" vertical="top" wrapText="1"/>
    </xf>
    <xf borderId="1" fillId="4" fontId="4" numFmtId="0" xfId="0" applyAlignment="1" applyBorder="1" applyFill="1" applyFont="1">
      <alignment shrinkToFit="0" vertical="top" wrapText="1"/>
    </xf>
    <xf borderId="0" fillId="0" fontId="7" numFmtId="0" xfId="0" applyAlignment="1" applyFont="1">
      <alignment readingOrder="0"/>
    </xf>
    <xf borderId="1" fillId="4" fontId="4" numFmtId="0" xfId="0" applyAlignment="1" applyBorder="1" applyFill="1" applyFont="1">
      <alignment shrinkToFit="0" vertical="bottom" wrapText="0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4.0"/>
    <col customWidth="1" min="3" max="4" width="17.0"/>
    <col customWidth="1" min="5" max="5" width="70.0"/>
    <col customWidth="1" min="6" max="6" width="15.0"/>
    <col customWidth="1" min="7" max="7" width="13.0"/>
    <col customWidth="1" min="8" max="26" width="8.71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9</v>
      </c>
    </row>
    <row r="2">
      <c r="A2" s="5" t="s">
        <v>13</v>
      </c>
      <c r="B2" s="5">
        <v>1.0</v>
      </c>
      <c r="C2" s="5" t="s">
        <v>18</v>
      </c>
      <c r="D2" s="5" t="s">
        <v>20</v>
      </c>
      <c r="E2" s="5" t="s">
        <v>19</v>
      </c>
      <c r="F2" s="5" t="s">
        <v>23</v>
      </c>
      <c r="G2" s="5" t="s">
        <v>24</v>
      </c>
    </row>
    <row r="3">
      <c r="A3" s="5" t="s">
        <v>27</v>
      </c>
      <c r="B3" s="5">
        <v>2.0</v>
      </c>
      <c r="C3" s="5" t="s">
        <v>18</v>
      </c>
      <c r="D3" s="5" t="s">
        <v>29</v>
      </c>
      <c r="E3" s="5" t="s">
        <v>31</v>
      </c>
      <c r="F3" s="5" t="s">
        <v>23</v>
      </c>
      <c r="G3" s="5" t="s">
        <v>24</v>
      </c>
    </row>
    <row r="4">
      <c r="A4" s="5" t="s">
        <v>33</v>
      </c>
      <c r="B4" s="5">
        <v>3.0</v>
      </c>
      <c r="C4" s="5" t="s">
        <v>18</v>
      </c>
      <c r="D4" s="5" t="s">
        <v>29</v>
      </c>
      <c r="E4" s="5" t="s">
        <v>37</v>
      </c>
      <c r="F4" s="8" t="s">
        <v>24</v>
      </c>
      <c r="G4" s="5" t="s">
        <v>24</v>
      </c>
    </row>
    <row r="5">
      <c r="A5" s="9" t="s">
        <v>41</v>
      </c>
      <c r="B5" s="9">
        <v>4.0</v>
      </c>
      <c r="C5" s="9" t="s">
        <v>45</v>
      </c>
      <c r="D5" s="9" t="s">
        <v>47</v>
      </c>
      <c r="E5" s="9" t="s">
        <v>49</v>
      </c>
      <c r="F5" s="9" t="s">
        <v>23</v>
      </c>
      <c r="G5" s="9" t="s">
        <v>23</v>
      </c>
    </row>
    <row r="6">
      <c r="A6" s="5" t="s">
        <v>52</v>
      </c>
      <c r="B6" s="5">
        <v>5.0</v>
      </c>
      <c r="C6" s="5" t="s">
        <v>18</v>
      </c>
      <c r="D6" s="5" t="s">
        <v>20</v>
      </c>
      <c r="E6" s="5" t="s">
        <v>56</v>
      </c>
      <c r="F6" s="5" t="s">
        <v>23</v>
      </c>
      <c r="G6" s="5" t="s">
        <v>24</v>
      </c>
    </row>
    <row r="7">
      <c r="A7" s="5" t="s">
        <v>58</v>
      </c>
      <c r="B7" s="5">
        <v>6.0</v>
      </c>
      <c r="C7" s="5" t="s">
        <v>62</v>
      </c>
      <c r="D7" s="5" t="s">
        <v>63</v>
      </c>
      <c r="E7" s="5" t="s">
        <v>64</v>
      </c>
      <c r="F7" s="5" t="s">
        <v>23</v>
      </c>
      <c r="G7" s="5" t="s">
        <v>24</v>
      </c>
    </row>
    <row r="8">
      <c r="A8" s="5" t="s">
        <v>69</v>
      </c>
      <c r="B8" s="5">
        <v>7.0</v>
      </c>
      <c r="C8" s="5" t="s">
        <v>62</v>
      </c>
      <c r="D8" s="5" t="s">
        <v>63</v>
      </c>
      <c r="E8" s="5" t="s">
        <v>72</v>
      </c>
      <c r="F8" s="8" t="s">
        <v>24</v>
      </c>
      <c r="G8" s="5" t="s">
        <v>24</v>
      </c>
    </row>
    <row r="9">
      <c r="A9" s="5" t="s">
        <v>76</v>
      </c>
      <c r="B9" s="5">
        <v>8.0</v>
      </c>
      <c r="C9" s="5" t="s">
        <v>62</v>
      </c>
      <c r="D9" s="5" t="s">
        <v>63</v>
      </c>
      <c r="E9" s="5" t="s">
        <v>79</v>
      </c>
      <c r="F9" s="5" t="s">
        <v>23</v>
      </c>
      <c r="G9" s="5" t="s">
        <v>24</v>
      </c>
    </row>
    <row r="10">
      <c r="A10" s="9" t="s">
        <v>83</v>
      </c>
      <c r="B10" s="9">
        <v>9.0</v>
      </c>
      <c r="C10" s="9" t="s">
        <v>45</v>
      </c>
      <c r="D10" s="9" t="s">
        <v>86</v>
      </c>
      <c r="E10" s="9" t="s">
        <v>88</v>
      </c>
      <c r="F10" s="9" t="s">
        <v>23</v>
      </c>
      <c r="G10" s="9" t="s">
        <v>23</v>
      </c>
    </row>
    <row r="11">
      <c r="A11" s="5" t="s">
        <v>91</v>
      </c>
      <c r="B11" s="5">
        <v>10.0</v>
      </c>
      <c r="C11" s="5" t="s">
        <v>62</v>
      </c>
      <c r="D11" s="5" t="s">
        <v>63</v>
      </c>
      <c r="E11" s="5" t="s">
        <v>93</v>
      </c>
      <c r="F11" s="5" t="s">
        <v>23</v>
      </c>
      <c r="G11" s="5" t="s">
        <v>24</v>
      </c>
    </row>
    <row r="12">
      <c r="A12" s="5" t="s">
        <v>96</v>
      </c>
      <c r="B12" s="5">
        <v>11.0</v>
      </c>
      <c r="C12" s="5" t="s">
        <v>67</v>
      </c>
      <c r="D12" s="5" t="s">
        <v>99</v>
      </c>
      <c r="E12" s="5" t="s">
        <v>100</v>
      </c>
      <c r="F12" s="5" t="s">
        <v>23</v>
      </c>
      <c r="G12" s="5" t="s">
        <v>24</v>
      </c>
    </row>
    <row r="13">
      <c r="A13" s="5" t="s">
        <v>103</v>
      </c>
      <c r="B13" s="5">
        <v>12.0</v>
      </c>
      <c r="C13" s="5" t="s">
        <v>67</v>
      </c>
      <c r="D13" s="5" t="s">
        <v>99</v>
      </c>
      <c r="E13" s="5" t="s">
        <v>106</v>
      </c>
      <c r="F13" s="5" t="s">
        <v>23</v>
      </c>
      <c r="G13" s="5" t="s">
        <v>24</v>
      </c>
    </row>
    <row r="14">
      <c r="A14" s="5" t="s">
        <v>109</v>
      </c>
      <c r="B14" s="5">
        <v>13.0</v>
      </c>
      <c r="C14" s="5" t="s">
        <v>67</v>
      </c>
      <c r="D14" s="5" t="s">
        <v>111</v>
      </c>
      <c r="E14" s="5" t="s">
        <v>112</v>
      </c>
      <c r="F14" s="8" t="s">
        <v>24</v>
      </c>
      <c r="G14" s="5" t="s">
        <v>24</v>
      </c>
    </row>
    <row r="15">
      <c r="A15" s="9" t="s">
        <v>116</v>
      </c>
      <c r="B15" s="9">
        <v>14.0</v>
      </c>
      <c r="C15" s="9" t="s">
        <v>45</v>
      </c>
      <c r="D15" s="9" t="s">
        <v>47</v>
      </c>
      <c r="E15" s="9" t="s">
        <v>120</v>
      </c>
      <c r="F15" s="9" t="s">
        <v>23</v>
      </c>
      <c r="G15" s="9" t="s">
        <v>23</v>
      </c>
    </row>
    <row r="16">
      <c r="A16" s="5" t="s">
        <v>124</v>
      </c>
      <c r="B16" s="5">
        <v>15.0</v>
      </c>
      <c r="C16" s="5" t="s">
        <v>67</v>
      </c>
      <c r="D16" s="5" t="s">
        <v>125</v>
      </c>
      <c r="E16" s="5" t="s">
        <v>126</v>
      </c>
      <c r="F16" s="5" t="s">
        <v>23</v>
      </c>
      <c r="G16" s="5" t="s">
        <v>24</v>
      </c>
    </row>
    <row r="18">
      <c r="A18" s="2" t="s">
        <v>127</v>
      </c>
    </row>
    <row r="19">
      <c r="A19" s="12" t="s">
        <v>128</v>
      </c>
    </row>
    <row r="20">
      <c r="A20" s="12" t="s">
        <v>129</v>
      </c>
    </row>
    <row r="21" ht="15.75" customHeight="1">
      <c r="A21" s="12" t="s">
        <v>130</v>
      </c>
    </row>
    <row r="22" ht="15.75" customHeight="1">
      <c r="A22" s="12" t="s">
        <v>131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26.0"/>
    <col customWidth="1" min="3" max="3" width="90.0"/>
    <col customWidth="1" min="4" max="26" width="8.71"/>
  </cols>
  <sheetData>
    <row r="1">
      <c r="A1" s="3" t="s">
        <v>1</v>
      </c>
    </row>
    <row r="2">
      <c r="A2" s="4" t="s">
        <v>8</v>
      </c>
      <c r="B2" s="4" t="s">
        <v>14</v>
      </c>
      <c r="C2" s="5" t="s">
        <v>15</v>
      </c>
    </row>
    <row r="3">
      <c r="A3" s="4" t="s">
        <v>16</v>
      </c>
      <c r="B3" s="4" t="s">
        <v>17</v>
      </c>
      <c r="C3" s="5" t="s">
        <v>21</v>
      </c>
    </row>
    <row r="5">
      <c r="A5" s="3" t="s">
        <v>22</v>
      </c>
    </row>
    <row r="6">
      <c r="A6" s="4" t="s">
        <v>25</v>
      </c>
      <c r="B6" s="4" t="s">
        <v>26</v>
      </c>
      <c r="C6" s="5" t="s">
        <v>28</v>
      </c>
    </row>
    <row r="7">
      <c r="A7" s="4" t="s">
        <v>30</v>
      </c>
      <c r="B7" s="4" t="s">
        <v>32</v>
      </c>
      <c r="C7" s="5" t="s">
        <v>34</v>
      </c>
    </row>
    <row r="8">
      <c r="A8" s="4" t="s">
        <v>35</v>
      </c>
      <c r="B8" s="4" t="s">
        <v>36</v>
      </c>
      <c r="C8" s="5" t="s">
        <v>38</v>
      </c>
    </row>
    <row r="9">
      <c r="A9" s="4" t="s">
        <v>39</v>
      </c>
      <c r="B9" s="4" t="s">
        <v>40</v>
      </c>
      <c r="C9" s="5" t="s">
        <v>42</v>
      </c>
    </row>
    <row r="10">
      <c r="A10" s="4" t="s">
        <v>43</v>
      </c>
      <c r="B10" s="4" t="s">
        <v>44</v>
      </c>
      <c r="C10" s="5" t="s">
        <v>46</v>
      </c>
      <c r="N10" s="10" t="s">
        <v>48</v>
      </c>
    </row>
    <row r="12">
      <c r="A12" s="3" t="s">
        <v>50</v>
      </c>
    </row>
    <row r="13">
      <c r="A13" s="4" t="s">
        <v>51</v>
      </c>
      <c r="B13" s="4" t="s">
        <v>53</v>
      </c>
      <c r="C13" s="5" t="s">
        <v>54</v>
      </c>
    </row>
    <row r="15">
      <c r="A15" s="3" t="s">
        <v>55</v>
      </c>
    </row>
    <row r="16">
      <c r="A16" s="4" t="s">
        <v>57</v>
      </c>
      <c r="B16" s="4" t="s">
        <v>18</v>
      </c>
      <c r="C16" s="5" t="s">
        <v>59</v>
      </c>
    </row>
    <row r="17">
      <c r="A17" s="4" t="s">
        <v>61</v>
      </c>
      <c r="B17" s="4" t="s">
        <v>62</v>
      </c>
      <c r="C17" s="5" t="s">
        <v>65</v>
      </c>
    </row>
    <row r="18">
      <c r="A18" s="4" t="s">
        <v>66</v>
      </c>
      <c r="B18" s="4" t="s">
        <v>67</v>
      </c>
      <c r="C18" s="5" t="s">
        <v>68</v>
      </c>
    </row>
    <row r="19">
      <c r="A19" s="4" t="s">
        <v>70</v>
      </c>
      <c r="B19" s="4" t="s">
        <v>71</v>
      </c>
      <c r="C19" s="5" t="s">
        <v>73</v>
      </c>
    </row>
    <row r="21" ht="15.75" customHeight="1">
      <c r="A21" s="3" t="s">
        <v>74</v>
      </c>
    </row>
    <row r="22" ht="15.75" customHeight="1">
      <c r="A22" s="4" t="s">
        <v>75</v>
      </c>
      <c r="B22" s="4" t="s">
        <v>77</v>
      </c>
      <c r="C22" s="5" t="s">
        <v>78</v>
      </c>
    </row>
    <row r="23" ht="15.75" customHeight="1">
      <c r="A23" s="4" t="s">
        <v>80</v>
      </c>
      <c r="B23" s="4" t="s">
        <v>81</v>
      </c>
      <c r="C23" s="5" t="s">
        <v>82</v>
      </c>
    </row>
    <row r="24" ht="15.75" customHeight="1">
      <c r="A24" s="4" t="s">
        <v>84</v>
      </c>
      <c r="B24" s="4" t="s">
        <v>85</v>
      </c>
      <c r="C24" s="5" t="s">
        <v>87</v>
      </c>
    </row>
    <row r="25" ht="15.75" customHeight="1">
      <c r="A25" s="4" t="s">
        <v>89</v>
      </c>
      <c r="B25" s="4" t="s">
        <v>90</v>
      </c>
      <c r="C25" s="5" t="s">
        <v>92</v>
      </c>
    </row>
    <row r="26" ht="15.75" customHeight="1"/>
    <row r="27" ht="15.75" customHeight="1">
      <c r="A27" s="3" t="s">
        <v>94</v>
      </c>
    </row>
    <row r="28" ht="15.75" customHeight="1">
      <c r="A28" s="4" t="s">
        <v>95</v>
      </c>
      <c r="B28" s="4" t="s">
        <v>97</v>
      </c>
      <c r="C28" s="5" t="s">
        <v>98</v>
      </c>
    </row>
    <row r="29" ht="15.75" customHeight="1">
      <c r="A29" s="4" t="s">
        <v>101</v>
      </c>
      <c r="B29" s="4" t="s">
        <v>102</v>
      </c>
      <c r="C29" s="5" t="s">
        <v>104</v>
      </c>
    </row>
    <row r="30" ht="15.75" customHeight="1">
      <c r="A30" s="4" t="s">
        <v>105</v>
      </c>
      <c r="B30" s="4" t="s">
        <v>107</v>
      </c>
      <c r="C30" s="5" t="s">
        <v>108</v>
      </c>
    </row>
    <row r="31" ht="15.75" customHeight="1"/>
    <row r="32" ht="15.75" customHeight="1">
      <c r="A32" s="3" t="s">
        <v>110</v>
      </c>
    </row>
    <row r="33" ht="15.75" customHeight="1">
      <c r="A33" s="4" t="s">
        <v>113</v>
      </c>
      <c r="B33" s="4" t="s">
        <v>114</v>
      </c>
      <c r="C33" s="5" t="s">
        <v>115</v>
      </c>
    </row>
    <row r="34" ht="15.75" customHeight="1">
      <c r="A34" s="4" t="s">
        <v>117</v>
      </c>
      <c r="B34" s="4" t="s">
        <v>118</v>
      </c>
      <c r="C34" s="5" t="s">
        <v>119</v>
      </c>
    </row>
    <row r="35" ht="15.75" customHeight="1">
      <c r="A35" s="4" t="s">
        <v>121</v>
      </c>
      <c r="B35" s="4" t="s">
        <v>122</v>
      </c>
      <c r="C35" s="5" t="s">
        <v>123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70.0"/>
    <col customWidth="1" min="3" max="3" width="10.0"/>
    <col customWidth="1" min="4" max="4" width="12.0"/>
    <col customWidth="1" min="5" max="5" width="13.0"/>
    <col customWidth="1" min="6" max="26" width="8.71"/>
  </cols>
  <sheetData>
    <row r="1">
      <c r="A1" s="2" t="s">
        <v>2</v>
      </c>
    </row>
    <row r="3">
      <c r="A3" s="1" t="s">
        <v>0</v>
      </c>
      <c r="B3" s="1" t="s">
        <v>6</v>
      </c>
      <c r="C3" s="1" t="s">
        <v>10</v>
      </c>
      <c r="D3" s="1" t="s">
        <v>11</v>
      </c>
      <c r="E3" s="1" t="s">
        <v>12</v>
      </c>
    </row>
    <row r="4">
      <c r="A4" s="6" t="s">
        <v>13</v>
      </c>
      <c r="B4" s="5" t="s">
        <v>19</v>
      </c>
      <c r="C4" s="7">
        <v>4.0</v>
      </c>
      <c r="D4" s="6" t="s">
        <v>23</v>
      </c>
      <c r="E4" s="6">
        <f t="shared" ref="E4:E6" si="1">IF(D4="Y",6-C4,C4)</f>
        <v>4</v>
      </c>
    </row>
    <row r="5">
      <c r="A5" s="6" t="s">
        <v>27</v>
      </c>
      <c r="B5" s="5" t="s">
        <v>31</v>
      </c>
      <c r="C5" s="7">
        <v>5.0</v>
      </c>
      <c r="D5" s="6" t="s">
        <v>23</v>
      </c>
      <c r="E5" s="6">
        <f t="shared" si="1"/>
        <v>5</v>
      </c>
    </row>
    <row r="6">
      <c r="A6" s="6" t="s">
        <v>33</v>
      </c>
      <c r="B6" s="5" t="s">
        <v>37</v>
      </c>
      <c r="C6" s="7">
        <v>2.0</v>
      </c>
      <c r="D6" s="6" t="s">
        <v>24</v>
      </c>
      <c r="E6" s="6">
        <f t="shared" si="1"/>
        <v>4</v>
      </c>
    </row>
    <row r="7">
      <c r="A7" s="11" t="s">
        <v>41</v>
      </c>
      <c r="B7" s="9" t="s">
        <v>49</v>
      </c>
      <c r="C7" s="7">
        <v>2.0</v>
      </c>
      <c r="D7" s="11" t="s">
        <v>23</v>
      </c>
      <c r="E7" s="11" t="s">
        <v>60</v>
      </c>
    </row>
    <row r="8">
      <c r="A8" s="6" t="s">
        <v>52</v>
      </c>
      <c r="B8" s="5" t="s">
        <v>56</v>
      </c>
      <c r="C8" s="7">
        <v>3.0</v>
      </c>
      <c r="D8" s="6" t="s">
        <v>23</v>
      </c>
      <c r="E8" s="6">
        <f t="shared" ref="E8:E11" si="2">IF(D8="Y",6-C8,C8)</f>
        <v>3</v>
      </c>
    </row>
    <row r="9">
      <c r="A9" s="6" t="s">
        <v>58</v>
      </c>
      <c r="B9" s="5" t="s">
        <v>64</v>
      </c>
      <c r="C9" s="7">
        <v>4.0</v>
      </c>
      <c r="D9" s="6" t="s">
        <v>23</v>
      </c>
      <c r="E9" s="6">
        <f t="shared" si="2"/>
        <v>4</v>
      </c>
    </row>
    <row r="10">
      <c r="A10" s="6" t="s">
        <v>69</v>
      </c>
      <c r="B10" s="5" t="s">
        <v>72</v>
      </c>
      <c r="C10" s="7">
        <v>3.0</v>
      </c>
      <c r="D10" s="6" t="s">
        <v>24</v>
      </c>
      <c r="E10" s="6">
        <f t="shared" si="2"/>
        <v>3</v>
      </c>
    </row>
    <row r="11">
      <c r="A11" s="6" t="s">
        <v>76</v>
      </c>
      <c r="B11" s="5" t="s">
        <v>79</v>
      </c>
      <c r="C11" s="7">
        <v>4.0</v>
      </c>
      <c r="D11" s="6" t="s">
        <v>23</v>
      </c>
      <c r="E11" s="6">
        <f t="shared" si="2"/>
        <v>4</v>
      </c>
    </row>
    <row r="12">
      <c r="A12" s="11" t="s">
        <v>83</v>
      </c>
      <c r="B12" s="9" t="s">
        <v>88</v>
      </c>
      <c r="C12" s="7">
        <v>5.0</v>
      </c>
      <c r="D12" s="11" t="s">
        <v>23</v>
      </c>
      <c r="E12" s="11" t="s">
        <v>60</v>
      </c>
    </row>
    <row r="13">
      <c r="A13" s="6" t="s">
        <v>91</v>
      </c>
      <c r="B13" s="5" t="s">
        <v>93</v>
      </c>
      <c r="C13" s="7">
        <v>4.0</v>
      </c>
      <c r="D13" s="6" t="s">
        <v>23</v>
      </c>
      <c r="E13" s="6">
        <f t="shared" ref="E13:E16" si="3">IF(D13="Y",6-C13,C13)</f>
        <v>4</v>
      </c>
    </row>
    <row r="14">
      <c r="A14" s="6" t="s">
        <v>96</v>
      </c>
      <c r="B14" s="5" t="s">
        <v>100</v>
      </c>
      <c r="C14" s="7">
        <v>3.0</v>
      </c>
      <c r="D14" s="6" t="s">
        <v>23</v>
      </c>
      <c r="E14" s="6">
        <f t="shared" si="3"/>
        <v>3</v>
      </c>
    </row>
    <row r="15">
      <c r="A15" s="6" t="s">
        <v>103</v>
      </c>
      <c r="B15" s="5" t="s">
        <v>106</v>
      </c>
      <c r="C15" s="7">
        <v>2.0</v>
      </c>
      <c r="D15" s="6" t="s">
        <v>23</v>
      </c>
      <c r="E15" s="6">
        <f t="shared" si="3"/>
        <v>2</v>
      </c>
    </row>
    <row r="16">
      <c r="A16" s="6" t="s">
        <v>109</v>
      </c>
      <c r="B16" s="5" t="s">
        <v>112</v>
      </c>
      <c r="C16" s="7">
        <v>2.0</v>
      </c>
      <c r="D16" s="6" t="s">
        <v>24</v>
      </c>
      <c r="E16" s="6">
        <f t="shared" si="3"/>
        <v>4</v>
      </c>
    </row>
    <row r="17">
      <c r="A17" s="11" t="s">
        <v>116</v>
      </c>
      <c r="B17" s="9" t="s">
        <v>120</v>
      </c>
      <c r="C17" s="7">
        <v>1.0</v>
      </c>
      <c r="D17" s="11" t="s">
        <v>23</v>
      </c>
      <c r="E17" s="11" t="s">
        <v>60</v>
      </c>
    </row>
    <row r="18">
      <c r="A18" s="6" t="s">
        <v>124</v>
      </c>
      <c r="B18" s="5" t="s">
        <v>126</v>
      </c>
      <c r="C18" s="7">
        <v>4.0</v>
      </c>
      <c r="D18" s="6" t="s">
        <v>23</v>
      </c>
      <c r="E18" s="6">
        <f>IF(D18="Y",6-C18,C18)</f>
        <v>4</v>
      </c>
    </row>
    <row r="20">
      <c r="B20" s="3" t="s">
        <v>132</v>
      </c>
    </row>
    <row r="21" ht="15.75" customHeight="1">
      <c r="B21" s="6" t="s">
        <v>133</v>
      </c>
      <c r="C21" s="6">
        <f>E4+E5+E6+E8</f>
        <v>16</v>
      </c>
    </row>
    <row r="22" ht="15.75" customHeight="1">
      <c r="B22" s="6" t="s">
        <v>134</v>
      </c>
      <c r="C22" s="6">
        <f>E9+E10+E11+E13</f>
        <v>15</v>
      </c>
    </row>
    <row r="23" ht="15.75" customHeight="1">
      <c r="B23" s="6" t="s">
        <v>135</v>
      </c>
      <c r="C23" s="6">
        <f>E14+E15+E16+E18</f>
        <v>13</v>
      </c>
    </row>
    <row r="24" ht="15.75" customHeight="1">
      <c r="B24" s="4" t="s">
        <v>136</v>
      </c>
      <c r="C24" s="4">
        <f>C21+C22+C23</f>
        <v>44</v>
      </c>
    </row>
    <row r="25" ht="15.75" customHeight="1">
      <c r="B25" s="4" t="s">
        <v>137</v>
      </c>
      <c r="C25" s="4" t="str">
        <f>IF(C24&gt;=48,"High Drive",IF(C24&gt;=34,"Moderate Drive","Developing Drive"))</f>
        <v>Moderate Drive</v>
      </c>
    </row>
    <row r="26" ht="15.75" customHeight="1">
      <c r="B26" s="6" t="s">
        <v>138</v>
      </c>
      <c r="C26" s="6" t="str">
        <f>IF(C12&lt;=3,"INVALID - do not score","OK")</f>
        <v>OK</v>
      </c>
    </row>
    <row r="27" ht="15.75" customHeight="1">
      <c r="B27" s="6" t="s">
        <v>139</v>
      </c>
      <c r="C27" s="6" t="str">
        <f>IF(AND(C7=5,C17=5),"STRONG FLAG",IF(OR(C7=5,C17=5),"SOFT FLAG","NONE"))</f>
        <v>NONE</v>
      </c>
    </row>
    <row r="28" ht="15.75" customHeight="1">
      <c r="B28" s="6" t="s">
        <v>140</v>
      </c>
      <c r="C28" s="6" t="str">
        <f>IF(AND(C5=C4,C6=C4,C7=C4,C8=C4,C9=C4,C10=C4,C11=C4,C12=C4,C13=C4,C14=C4,C15=C4,C16=C4,C17=C4,C18=C4),"INVALID - straight-line","OK")</f>
        <v>OK</v>
      </c>
    </row>
    <row r="29" ht="15.75" customHeight="1"/>
    <row r="30" ht="15.75" customHeight="1">
      <c r="B30" s="12" t="s">
        <v>141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2026-09-01T05:36:53Z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